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마진 규칙" sheetId="1" state="visible" r:id="rId3"/>
    <sheet name="마진 계산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<sst xmlns="http://schemas.openxmlformats.org/spreadsheetml/2006/main" count="49" uniqueCount="49">
  <si>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제품 마진 계산 규칙</t>
  </si>
  <si>
    <r>
      <rPr>
        <sz val="10"/>
        <color rgb="FF595959"/>
        <rFont val="Noto Sans CJK SC"/>
        <family val="2"/>
      </rPr>
      <t xml:space="preserve">제품 조회 → 상세보기</t>
    </r>
    <r>
      <rPr>
        <sz val="10"/>
        <color rgb="FF595959"/>
        <rFont val="Arial"/>
        <family val="0"/>
        <charset val="1"/>
      </rPr>
      <t xml:space="preserve">(Manager·S </t>
    </r>
    <r>
      <rPr>
        <sz val="10"/>
        <color rgb="FF595959"/>
        <rFont val="Noto Sans CJK SC"/>
        <family val="2"/>
      </rPr>
      <t xml:space="preserve">전용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 표시되는 정상가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할인가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카드가 마진의 계산식입니다</t>
    </r>
    <r>
      <rPr>
        <sz val="10"/>
        <color rgb="FF595959"/>
        <rFont val="Arial"/>
        <family val="0"/>
        <charset val="1"/>
      </rPr>
      <t xml:space="preserve">.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</si>
  <si>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</si>
  <si>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VAT 0 (</t>
    </r>
    <r>
      <rPr>
        <b val="true"/>
        <sz val="10"/>
        <color rgb="FFFFFFFF"/>
        <rFont val="Noto Sans CJK SC"/>
        <family val="2"/>
      </rPr>
      <t xml:space="preserve">미포함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</si>
  <si>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VAT 1 (</t>
    </r>
    <r>
      <rPr>
        <b val="true"/>
        <sz val="10"/>
        <color rgb="FFFFFFFF"/>
        <rFont val="Noto Sans CJK SC"/>
        <family val="2"/>
      </rPr>
      <t xml:space="preserve">포함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</si>
  <si>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정상가 마진</t>
  </si>
  <si>
    <r>
      <rPr>
        <sz val="10"/>
        <rFont val="Noto Sans CJK SC"/>
        <family val="2"/>
      </rPr>
      <t xml:space="preserve">정상가 − 단위매입원가 </t>
    </r>
    <r>
      <rPr>
        <sz val="10"/>
        <rFont val="Arial"/>
        <family val="0"/>
        <charset val="1"/>
      </rPr>
      <t xml:space="preserve">× 1.1</t>
    </r>
  </si>
  <si>
    <t xml:space="preserve">정상가 − 단위매입원가</t>
  </si>
  <si>
    <t xml:space="preserve">할인가 마진</t>
  </si>
  <si>
    <t xml:space="preserve">할인가 − 단위매입원가</t>
  </si>
  <si>
    <r>
      <rPr>
        <sz val="10"/>
        <rFont val="Noto Sans CJK SC"/>
        <family val="2"/>
      </rPr>
      <t xml:space="preserve">할인가 − 단위매입원가 </t>
    </r>
    <r>
      <rPr>
        <sz val="10"/>
        <rFont val="Arial"/>
        <family val="0"/>
        <charset val="1"/>
      </rPr>
      <t xml:space="preserve">÷ 1.1</t>
    </r>
  </si>
  <si>
    <t xml:space="preserve">카드가 마진</t>
  </si>
  <si>
    <r>
      <rPr>
        <sz val="10"/>
        <rFont val="Noto Sans CJK SC"/>
        <family val="2"/>
      </rPr>
      <t xml:space="preserve">카드가 − 단위매입원가 </t>
    </r>
    <r>
      <rPr>
        <sz val="10"/>
        <rFont val="Arial"/>
        <family val="0"/>
        <charset val="1"/>
      </rPr>
      <t xml:space="preserve">× 1.13</t>
    </r>
  </si>
  <si>
    <r>
      <rPr>
        <sz val="10"/>
        <rFont val="Noto Sans CJK SC"/>
        <family val="2"/>
      </rPr>
      <t xml:space="preserve">카드가 </t>
    </r>
    <r>
      <rPr>
        <sz val="10"/>
        <rFont val="Arial"/>
        <family val="0"/>
        <charset val="1"/>
      </rPr>
      <t xml:space="preserve">÷ (1 + </t>
    </r>
    <r>
      <rPr>
        <sz val="10"/>
        <rFont val="Noto Sans CJK SC"/>
        <family val="2"/>
      </rPr>
      <t xml:space="preserve">카드 가산율</t>
    </r>
    <r>
      <rPr>
        <sz val="10"/>
        <rFont val="Arial"/>
        <family val="0"/>
        <charset val="1"/>
      </rPr>
      <t xml:space="preserve">) − </t>
    </r>
    <r>
      <rPr>
        <sz val="10"/>
        <rFont val="Noto Sans CJK SC"/>
        <family val="2"/>
      </rPr>
      <t xml:space="preserve">단위매입원가</t>
    </r>
  </si>
  <si>
    <t xml:space="preserve">참고</t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</si>
  <si>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카드 가산율은 할인율 등록 메뉴의 값입니다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기준시세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단가제는 ①번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공시가제는 ②번 값을 씁니다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</si>
  <si>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마진율</t>
    </r>
    <r>
      <rPr>
        <sz val="10"/>
        <color rgb="FF000000"/>
        <rFont val="Arial"/>
        <family val="0"/>
        <charset val="1"/>
      </rPr>
      <t xml:space="preserve">(%)</t>
    </r>
    <r>
      <rPr>
        <sz val="10"/>
        <color rgb="FF000000"/>
        <rFont val="Noto Sans CJK SC"/>
        <family val="2"/>
      </rPr>
      <t xml:space="preserve">은 마진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해당 판매가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정상가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할인가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카드가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</si>
  <si>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· VAT </t>
    </r>
    <r>
      <rPr>
        <sz val="10"/>
        <color rgb="FF000000"/>
        <rFont val="Noto Sans CJK SC"/>
        <family val="2"/>
      </rPr>
      <t xml:space="preserve">값이 비어 있는 이전 제품은 </t>
    </r>
    <r>
      <rPr>
        <sz val="10"/>
        <color rgb="FF000000"/>
        <rFont val="Arial"/>
        <family val="0"/>
        <charset val="1"/>
      </rPr>
      <t xml:space="preserve">VAT 1(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같이 계산합니다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</si>
  <si>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판매 현황의 마진은 이 규칙이 아니라 「판매금액 − 판매 시점 매입원가」 방식입니다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변경 전과 동일</t>
    </r>
    <r>
      <rPr>
        <sz val="10"/>
        <color rgb="FF000000"/>
        <rFont val="Arial"/>
        <family val="0"/>
        <charset val="1"/>
      </rPr>
      <t xml:space="preserve">).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</si>
  <si>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단위 매입원가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기준시세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매입원가 기준시세로 계산한 금값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공임합계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단가제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공시가제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입력한 제품 매입원가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</si>
  <si>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계산 확인은 「마진 계산기」 시트에 값을 넣어 해 볼 수 있습니다</t>
    </r>
    <r>
      <rPr>
        <sz val="10"/>
        <color rgb="FF000000"/>
        <rFont val="Arial"/>
        <family val="0"/>
        <charset val="1"/>
      </rPr>
      <t xml:space="preserve">.</t>
    </r>
  </si>
  <si>
    <t xml:space="preserve">마진 계산기</t>
  </si>
  <si>
    <r>
      <rPr>
        <sz val="10"/>
        <color rgb="FF595959"/>
        <rFont val="Noto Sans CJK SC"/>
        <family val="2"/>
      </rPr>
      <t xml:space="preserve">노란 칸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파란 글씨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 값을 입력하세요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나머지는 자동 계산됩니다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가격 단위는 원입니다</t>
    </r>
    <r>
      <rPr>
        <sz val="10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</si>
  <si>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기준시세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단가제 할인율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</si>
  <si>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기준시세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단가제 카드 가산율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</si>
  <si>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공시가제 할인율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</si>
  <si>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공시가제 카드 가산율</t>
    </r>
    <r>
      <rPr>
        <b val="true"/>
        <sz val="10"/>
        <rFont val="Arial"/>
        <family val="0"/>
        <charset val="1"/>
      </rPr>
      <t xml:space="preserve">(%)</t>
    </r>
  </si>
  <si>
    <t xml:space="preserve">제품명</t>
  </si>
  <si>
    <r>
      <rPr>
        <b val="true"/>
        <sz val="10"/>
        <color rgb="FFFFFFFF"/>
        <rFont val="Noto Sans CJK SC"/>
        <family val="2"/>
      </rPr>
      <t xml:space="preserve">가격정책
</t>
    </r>
    <r>
      <rPr>
        <b val="true"/>
        <sz val="10"/>
        <color rgb="FFFFFFFF"/>
        <rFont val="Arial"/>
        <family val="0"/>
        <charset val="1"/>
      </rPr>
      <t xml:space="preserve">(S/U/P)</t>
    </r>
  </si>
  <si>
    <t xml:space="preserve">VAT
(0/1)</t>
  </si>
  <si>
    <t xml:space="preserve">단위
매입원가</t>
  </si>
  <si>
    <t xml:space="preserve">정상가</t>
  </si>
  <si>
    <r>
      <rPr>
        <b val="true"/>
        <sz val="10"/>
        <color rgb="FFFFFFFF"/>
        <rFont val="Noto Sans CJK SC"/>
        <family val="2"/>
      </rPr>
      <t xml:space="preserve">할인율
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</si>
  <si>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카드
가산율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</si>
  <si>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할인가</t>
  </si>
  <si>
    <t xml:space="preserve">카드가</t>
  </si>
  <si>
    <t xml:space="preserve">정상가
마진</t>
  </si>
  <si>
    <t xml:space="preserve">할인가
마진</t>
  </si>
  <si>
    <t xml:space="preserve">카드가
마진</t>
  </si>
  <si>
    <t xml:space="preserve">정상가
마진율</t>
  </si>
  <si>
    <t xml:space="preserve">할인가
마진율</t>
  </si>
  <si>
    <t xml:space="preserve">카드가
마진율</t>
  </si>
  <si>
    <r>
      <rPr>
        <sz val="10"/>
        <color rgb="FF0000FF"/>
        <rFont val="Noto Sans CJK SC"/>
        <family val="2"/>
      </rPr>
      <t xml:space="preserve">샘플</t>
    </r>
    <r>
      <rPr>
        <sz val="10"/>
        <color rgb="FF0000FF"/>
        <rFont val="Arial"/>
        <family val="0"/>
        <charset val="1"/>
      </rPr>
      <t xml:space="preserve">1 18K </t>
    </r>
    <r>
      <rPr>
        <sz val="10"/>
        <color rgb="FF0000FF"/>
        <rFont val="Noto Sans CJK SC"/>
        <family val="2"/>
      </rPr>
      <t xml:space="preserve">펜던트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기준시세</t>
    </r>
    <r>
      <rPr>
        <sz val="10"/>
        <color rgb="FF0000FF"/>
        <rFont val="Arial"/>
        <family val="0"/>
        <charset val="1"/>
      </rPr>
      <t xml:space="preserve">)</t>
    </r>
  </si>
  <si>
    <t xml:space="preserve">S</t>
  </si>
  <si>
    <r>
      <rPr>
        <sz val="10"/>
        <color rgb="FF0000FF"/>
        <rFont val="Noto Sans CJK SC"/>
        <family val="2"/>
      </rPr>
      <t xml:space="preserve">샘플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은팔지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단가제</t>
    </r>
    <r>
      <rPr>
        <sz val="10"/>
        <color rgb="FF0000FF"/>
        <rFont val="Arial"/>
        <family val="0"/>
        <charset val="1"/>
      </rPr>
      <t xml:space="preserve">)</t>
    </r>
  </si>
  <si>
    <t xml:space="preserve">U</t>
  </si>
  <si>
    <r>
      <rPr>
        <sz val="10"/>
        <color rgb="FF0000FF"/>
        <rFont val="Noto Sans CJK SC"/>
        <family val="2"/>
      </rPr>
      <t xml:space="preserve">샘플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공시가 제품</t>
    </r>
  </si>
  <si>
    <t xml:space="preserve">P</t>
  </si>
  <si>
    <r>
      <rPr>
        <sz val="10"/>
        <color rgb="FF595959"/>
        <rFont val="Noto Sans CJK SC"/>
        <family val="2"/>
      </rPr>
      <t xml:space="preserve">※ 할인가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카드가는 정상가를 기준으로 계산해 천원 단위로 반올림합니다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앱과 동일</t>
    </r>
    <r>
      <rPr>
        <sz val="10"/>
        <color rgb="FF595959"/>
        <rFont val="Arial"/>
        <family val="0"/>
        <charset val="1"/>
      </rPr>
      <t xml:space="preserve">). </t>
    </r>
    <r>
      <rPr>
        <sz val="10"/>
        <color rgb="FF595959"/>
        <rFont val="Noto Sans CJK SC"/>
        <family val="2"/>
      </rPr>
      <t xml:space="preserve">정상가는 앱에서 계산된 값을 그대로 입력하세요</t>
    </r>
    <r>
      <rPr>
        <sz val="10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</si>
</sst>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;[RED]\-#,##0"/>
    <numFmt numFmtId="167" formatCode="0.0%;[RED]\-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D43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1F4D43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D43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s">
        <v>6</v>
      </c>
      <c r="C5" s="6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6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6" t="s">
        <v>13</v>
      </c>
    </row>
    <row r="9" customFormat="false" ht="15" hidden="false" customHeight="false" outlineLevel="0" collapsed="false">
      <c r="A9" s="7" t="s">
        <v>14</v>
      </c>
    </row>
    <row r="10" customFormat="false" ht="15" hidden="false" customHeight="false" outlineLevel="0" collapsed="false">
      <c r="A10" s="8" t="s">
        <v>15</v>
      </c>
    </row>
    <row r="11" customFormat="false" ht="15" hidden="false" customHeight="false" outlineLevel="0" collapsed="false">
      <c r="A11" s="8" t="s">
        <v>16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A13" s="8" t="s">
        <v>18</v>
      </c>
    </row>
    <row r="14" customFormat="false" ht="15" hidden="false" customHeight="false" outlineLevel="0" collapsed="false">
      <c r="A14" s="8" t="s">
        <v>19</v>
      </c>
    </row>
    <row r="15" customFormat="false" ht="15" hidden="false" customHeight="false" outlineLevel="0" collapsed="false">
      <c r="A15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12" min="8" style="0" width="13"/>
    <col collapsed="false" customWidth="true" hidden="false" outlineLevel="0" max="15" min="13" style="0" width="1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15" hidden="false" customHeight="false" outlineLevel="0" collapsed="false">
      <c r="A3" s="9" t="s">
        <v>23</v>
      </c>
      <c r="D3" s="10" t="n">
        <v>10</v>
      </c>
      <c r="F3" s="9" t="s">
        <v>24</v>
      </c>
      <c r="I3" s="10" t="n">
        <v>3</v>
      </c>
    </row>
    <row r="4" customFormat="false" ht="15" hidden="false" customHeight="false" outlineLevel="0" collapsed="false">
      <c r="A4" s="9" t="s">
        <v>25</v>
      </c>
      <c r="D4" s="10" t="n">
        <v>2.5</v>
      </c>
      <c r="F4" s="9" t="s">
        <v>26</v>
      </c>
      <c r="I4" s="10" t="n">
        <v>3</v>
      </c>
    </row>
    <row r="6" customFormat="false" ht="33.75" hidden="false" customHeight="true" outlineLevel="0" collapsed="false">
      <c r="A6" s="11" t="s">
        <v>27</v>
      </c>
      <c r="B6" s="11" t="s">
        <v>28</v>
      </c>
      <c r="C6" s="12" t="s">
        <v>29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  <c r="I6" s="11" t="s">
        <v>35</v>
      </c>
      <c r="J6" s="11" t="s">
        <v>36</v>
      </c>
      <c r="K6" s="11" t="s">
        <v>37</v>
      </c>
      <c r="L6" s="11" t="s">
        <v>38</v>
      </c>
      <c r="M6" s="11" t="s">
        <v>39</v>
      </c>
      <c r="N6" s="11" t="s">
        <v>40</v>
      </c>
      <c r="O6" s="11" t="s">
        <v>41</v>
      </c>
    </row>
    <row r="7" customFormat="false" ht="15" hidden="false" customHeight="false" outlineLevel="0" collapsed="false">
      <c r="A7" s="13" t="s">
        <v>42</v>
      </c>
      <c r="B7" s="14" t="s">
        <v>43</v>
      </c>
      <c r="C7" s="14" t="n">
        <v>1</v>
      </c>
      <c r="D7" s="15" t="n">
        <v>575623</v>
      </c>
      <c r="E7" s="15" t="n">
        <v>631000</v>
      </c>
      <c r="F7" s="16" t="n">
        <f aca="false">IF(B7="","",IF(B7="P",$D$4,$D$3))</f>
        <v>10</v>
      </c>
      <c r="G7" s="16" t="n">
        <f aca="false">IF(B7="","",IF(B7="P",$I$4,$I$3))</f>
        <v>3</v>
      </c>
      <c r="H7" s="17" t="n">
        <f aca="false">IF(OR(E7="",B7=""),"",ROUND(IF(B7="P",E7*(1-F7/100),E7/(1+F7/100)),-3))</f>
        <v>574000</v>
      </c>
      <c r="I7" s="17" t="n">
        <f aca="false">IF(OR(E7="",B7=""),"",ROUND(E7*(1+G7/100),-3))</f>
        <v>650000</v>
      </c>
      <c r="J7" s="17" t="n">
        <f aca="false">IF(OR(D7="",E7="",C7=""),"",IF(C7=0,E7-D7*1.1,E7-D7))</f>
        <v>55377</v>
      </c>
      <c r="K7" s="17" t="n">
        <f aca="false">IF(OR(D7="",H7="",C7=""),"",IF(C7=0,H7-D7,H7-D7/1.1))</f>
        <v>50706.3636363637</v>
      </c>
      <c r="L7" s="17" t="n">
        <f aca="false">IF(OR(D7="",I7="",C7=""),"",IF(C7=0,I7-D7*1.13,I7/(1+G7/100)-D7))</f>
        <v>55444.9611650485</v>
      </c>
      <c r="M7" s="18" t="n">
        <f aca="false">IF(J7="","",IF(E7&gt;0,J7/E7,""))</f>
        <v>0.0877606973058637</v>
      </c>
      <c r="N7" s="18" t="n">
        <f aca="false">IF(K7="","",IF(H7&gt;0,K7/H7,""))</f>
        <v>0.0883386126069054</v>
      </c>
      <c r="O7" s="18" t="n">
        <f aca="false">IF(L7="","",IF(I7&gt;0,L7/I7,""))</f>
        <v>0.0852999402539208</v>
      </c>
    </row>
    <row r="8" customFormat="false" ht="15" hidden="false" customHeight="false" outlineLevel="0" collapsed="false">
      <c r="A8" s="13" t="s">
        <v>44</v>
      </c>
      <c r="B8" s="14" t="s">
        <v>45</v>
      </c>
      <c r="C8" s="14" t="n">
        <v>0</v>
      </c>
      <c r="D8" s="15" t="n">
        <v>52000</v>
      </c>
      <c r="E8" s="15" t="n">
        <v>114000</v>
      </c>
      <c r="F8" s="16" t="n">
        <f aca="false">IF(B8="","",IF(B8="P",$D$4,$D$3))</f>
        <v>10</v>
      </c>
      <c r="G8" s="16" t="n">
        <f aca="false">IF(B8="","",IF(B8="P",$I$4,$I$3))</f>
        <v>3</v>
      </c>
      <c r="H8" s="17" t="n">
        <f aca="false">IF(OR(E8="",B8=""),"",ROUND(IF(B8="P",E8*(1-F8/100),E8/(1+F8/100)),-3))</f>
        <v>104000</v>
      </c>
      <c r="I8" s="17" t="n">
        <f aca="false">IF(OR(E8="",B8=""),"",ROUND(E8*(1+G8/100),-3))</f>
        <v>117000</v>
      </c>
      <c r="J8" s="17" t="n">
        <f aca="false">IF(OR(D8="",E8="",C8=""),"",IF(C8=0,E8-D8*1.1,E8-D8))</f>
        <v>56800</v>
      </c>
      <c r="K8" s="17" t="n">
        <f aca="false">IF(OR(D8="",H8="",C8=""),"",IF(C8=0,H8-D8,H8-D8/1.1))</f>
        <v>52000</v>
      </c>
      <c r="L8" s="17" t="n">
        <f aca="false">IF(OR(D8="",I8="",C8=""),"",IF(C8=0,I8-D8*1.13,I8/(1+G8/100)-D8))</f>
        <v>58240</v>
      </c>
      <c r="M8" s="18" t="n">
        <f aca="false">IF(J8="","",IF(E8&gt;0,J8/E8,""))</f>
        <v>0.498245614035088</v>
      </c>
      <c r="N8" s="18" t="n">
        <f aca="false">IF(K8="","",IF(H8&gt;0,K8/H8,""))</f>
        <v>0.5</v>
      </c>
      <c r="O8" s="18" t="n">
        <f aca="false">IF(L8="","",IF(I8&gt;0,L8/I8,""))</f>
        <v>0.497777777777778</v>
      </c>
    </row>
    <row r="9" customFormat="false" ht="15" hidden="false" customHeight="false" outlineLevel="0" collapsed="false">
      <c r="A9" s="13" t="s">
        <v>46</v>
      </c>
      <c r="B9" s="14" t="s">
        <v>47</v>
      </c>
      <c r="C9" s="14" t="n">
        <v>1</v>
      </c>
      <c r="D9" s="15" t="n">
        <v>560000</v>
      </c>
      <c r="E9" s="15" t="n">
        <v>700000</v>
      </c>
      <c r="F9" s="16" t="n">
        <f aca="false">IF(B9="","",IF(B9="P",$D$4,$D$3))</f>
        <v>2.5</v>
      </c>
      <c r="G9" s="16" t="n">
        <f aca="false">IF(B9="","",IF(B9="P",$I$4,$I$3))</f>
        <v>3</v>
      </c>
      <c r="H9" s="17" t="n">
        <f aca="false">IF(OR(E9="",B9=""),"",ROUND(IF(B9="P",E9*(1-F9/100),E9/(1+F9/100)),-3))</f>
        <v>683000</v>
      </c>
      <c r="I9" s="17" t="n">
        <f aca="false">IF(OR(E9="",B9=""),"",ROUND(E9*(1+G9/100),-3))</f>
        <v>721000</v>
      </c>
      <c r="J9" s="17" t="n">
        <f aca="false">IF(OR(D9="",E9="",C9=""),"",IF(C9=0,E9-D9*1.1,E9-D9))</f>
        <v>140000</v>
      </c>
      <c r="K9" s="17" t="n">
        <f aca="false">IF(OR(D9="",H9="",C9=""),"",IF(C9=0,H9-D9,H9-D9/1.1))</f>
        <v>173909.090909091</v>
      </c>
      <c r="L9" s="17" t="n">
        <f aca="false">IF(OR(D9="",I9="",C9=""),"",IF(C9=0,I9-D9*1.13,I9/(1+G9/100)-D9))</f>
        <v>140000</v>
      </c>
      <c r="M9" s="18" t="n">
        <f aca="false">IF(J9="","",IF(E9&gt;0,J9/E9,""))</f>
        <v>0.2</v>
      </c>
      <c r="N9" s="18" t="n">
        <f aca="false">IF(K9="","",IF(H9&gt;0,K9/H9,""))</f>
        <v>0.254625316118728</v>
      </c>
      <c r="O9" s="18" t="n">
        <f aca="false">IF(L9="","",IF(I9&gt;0,L9/I9,""))</f>
        <v>0.194174757281553</v>
      </c>
    </row>
    <row r="10" customFormat="false" ht="15" hidden="false" customHeight="false" outlineLevel="0" collapsed="false">
      <c r="A10" s="13"/>
      <c r="B10" s="14"/>
      <c r="C10" s="14"/>
      <c r="D10" s="15"/>
      <c r="E10" s="15"/>
      <c r="F10" s="16" t="str">
        <f aca="false">IF(B10="","",IF(B10="P",$D$4,$D$3))</f>
        <v/>
      </c>
      <c r="G10" s="16" t="str">
        <f aca="false">IF(B10="","",IF(B10="P",$I$4,$I$3))</f>
        <v/>
      </c>
      <c r="H10" s="17" t="str">
        <f aca="false">IF(OR(E10="",B10=""),"",ROUND(IF(B10="P",E10*(1-F10/100),E10/(1+F10/100)),-3))</f>
        <v/>
      </c>
      <c r="I10" s="17" t="str">
        <f aca="false">IF(OR(E10="",B10=""),"",ROUND(E10*(1+G10/100),-3))</f>
        <v/>
      </c>
      <c r="J10" s="17" t="str">
        <f aca="false">IF(OR(D10="",E10="",C10=""),"",IF(C10=0,E10-D10*1.1,E10-D10))</f>
        <v/>
      </c>
      <c r="K10" s="17" t="str">
        <f aca="false">IF(OR(D10="",H10="",C10=""),"",IF(C10=0,H10-D10,H10-D10/1.1))</f>
        <v/>
      </c>
      <c r="L10" s="17" t="str">
        <f aca="false">IF(OR(D10="",I10="",C10=""),"",IF(C10=0,I10-D10*1.13,I10/(1+G10/100)-D10))</f>
        <v/>
      </c>
      <c r="M10" s="18" t="str">
        <f aca="false">IF(J10="","",IF(E10&gt;0,J10/E10,""))</f>
        <v/>
      </c>
      <c r="N10" s="18" t="str">
        <f aca="false">IF(K10="","",IF(H10&gt;0,K10/H10,""))</f>
        <v/>
      </c>
      <c r="O10" s="18" t="str">
        <f aca="false">IF(L10="","",IF(I10&gt;0,L10/I10,""))</f>
        <v/>
      </c>
    </row>
    <row r="11" customFormat="false" ht="15" hidden="false" customHeight="false" outlineLevel="0" collapsed="false">
      <c r="A11" s="13"/>
      <c r="B11" s="14"/>
      <c r="C11" s="14"/>
      <c r="D11" s="15"/>
      <c r="E11" s="15"/>
      <c r="F11" s="16" t="str">
        <f aca="false">IF(B11="","",IF(B11="P",$D$4,$D$3))</f>
        <v/>
      </c>
      <c r="G11" s="16" t="str">
        <f aca="false">IF(B11="","",IF(B11="P",$I$4,$I$3))</f>
        <v/>
      </c>
      <c r="H11" s="17" t="str">
        <f aca="false">IF(OR(E11="",B11=""),"",ROUND(IF(B11="P",E11*(1-F11/100),E11/(1+F11/100)),-3))</f>
        <v/>
      </c>
      <c r="I11" s="17" t="str">
        <f aca="false">IF(OR(E11="",B11=""),"",ROUND(E11*(1+G11/100),-3))</f>
        <v/>
      </c>
      <c r="J11" s="17" t="str">
        <f aca="false">IF(OR(D11="",E11="",C11=""),"",IF(C11=0,E11-D11*1.1,E11-D11))</f>
        <v/>
      </c>
      <c r="K11" s="17" t="str">
        <f aca="false">IF(OR(D11="",H11="",C11=""),"",IF(C11=0,H11-D11,H11-D11/1.1))</f>
        <v/>
      </c>
      <c r="L11" s="17" t="str">
        <f aca="false">IF(OR(D11="",I11="",C11=""),"",IF(C11=0,I11-D11*1.13,I11/(1+G11/100)-D11))</f>
        <v/>
      </c>
      <c r="M11" s="18" t="str">
        <f aca="false">IF(J11="","",IF(E11&gt;0,J11/E11,""))</f>
        <v/>
      </c>
      <c r="N11" s="18" t="str">
        <f aca="false">IF(K11="","",IF(H11&gt;0,K11/H11,""))</f>
        <v/>
      </c>
      <c r="O11" s="18" t="str">
        <f aca="false">IF(L11="","",IF(I11&gt;0,L11/I11,""))</f>
        <v/>
      </c>
    </row>
    <row r="12" customFormat="false" ht="15" hidden="false" customHeight="false" outlineLevel="0" collapsed="false">
      <c r="A12" s="13"/>
      <c r="B12" s="14"/>
      <c r="C12" s="14"/>
      <c r="D12" s="15"/>
      <c r="E12" s="15"/>
      <c r="F12" s="16" t="str">
        <f aca="false">IF(B12="","",IF(B12="P",$D$4,$D$3))</f>
        <v/>
      </c>
      <c r="G12" s="16" t="str">
        <f aca="false">IF(B12="","",IF(B12="P",$I$4,$I$3))</f>
        <v/>
      </c>
      <c r="H12" s="17" t="str">
        <f aca="false">IF(OR(E12="",B12=""),"",ROUND(IF(B12="P",E12*(1-F12/100),E12/(1+F12/100)),-3))</f>
        <v/>
      </c>
      <c r="I12" s="17" t="str">
        <f aca="false">IF(OR(E12="",B12=""),"",ROUND(E12*(1+G12/100),-3))</f>
        <v/>
      </c>
      <c r="J12" s="17" t="str">
        <f aca="false">IF(OR(D12="",E12="",C12=""),"",IF(C12=0,E12-D12*1.1,E12-D12))</f>
        <v/>
      </c>
      <c r="K12" s="17" t="str">
        <f aca="false">IF(OR(D12="",H12="",C12=""),"",IF(C12=0,H12-D12,H12-D12/1.1))</f>
        <v/>
      </c>
      <c r="L12" s="17" t="str">
        <f aca="false">IF(OR(D12="",I12="",C12=""),"",IF(C12=0,I12-D12*1.13,I12/(1+G12/100)-D12))</f>
        <v/>
      </c>
      <c r="M12" s="18" t="str">
        <f aca="false">IF(J12="","",IF(E12&gt;0,J12/E12,""))</f>
        <v/>
      </c>
      <c r="N12" s="18" t="str">
        <f aca="false">IF(K12="","",IF(H12&gt;0,K12/H12,""))</f>
        <v/>
      </c>
      <c r="O12" s="18" t="str">
        <f aca="false">IF(L12="","",IF(I12&gt;0,L12/I12,""))</f>
        <v/>
      </c>
    </row>
    <row r="13" customFormat="false" ht="15" hidden="false" customHeight="false" outlineLevel="0" collapsed="false">
      <c r="A13" s="13"/>
      <c r="B13" s="14"/>
      <c r="C13" s="14"/>
      <c r="D13" s="15"/>
      <c r="E13" s="15"/>
      <c r="F13" s="16" t="str">
        <f aca="false">IF(B13="","",IF(B13="P",$D$4,$D$3))</f>
        <v/>
      </c>
      <c r="G13" s="16" t="str">
        <f aca="false">IF(B13="","",IF(B13="P",$I$4,$I$3))</f>
        <v/>
      </c>
      <c r="H13" s="17" t="str">
        <f aca="false">IF(OR(E13="",B13=""),"",ROUND(IF(B13="P",E13*(1-F13/100),E13/(1+F13/100)),-3))</f>
        <v/>
      </c>
      <c r="I13" s="17" t="str">
        <f aca="false">IF(OR(E13="",B13=""),"",ROUND(E13*(1+G13/100),-3))</f>
        <v/>
      </c>
      <c r="J13" s="17" t="str">
        <f aca="false">IF(OR(D13="",E13="",C13=""),"",IF(C13=0,E13-D13*1.1,E13-D13))</f>
        <v/>
      </c>
      <c r="K13" s="17" t="str">
        <f aca="false">IF(OR(D13="",H13="",C13=""),"",IF(C13=0,H13-D13,H13-D13/1.1))</f>
        <v/>
      </c>
      <c r="L13" s="17" t="str">
        <f aca="false">IF(OR(D13="",I13="",C13=""),"",IF(C13=0,I13-D13*1.13,I13/(1+G13/100)-D13))</f>
        <v/>
      </c>
      <c r="M13" s="18" t="str">
        <f aca="false">IF(J13="","",IF(E13&gt;0,J13/E13,""))</f>
        <v/>
      </c>
      <c r="N13" s="18" t="str">
        <f aca="false">IF(K13="","",IF(H13&gt;0,K13/H13,""))</f>
        <v/>
      </c>
      <c r="O13" s="18" t="str">
        <f aca="false">IF(L13="","",IF(I13&gt;0,L13/I13,""))</f>
        <v/>
      </c>
    </row>
    <row r="14" customFormat="false" ht="15" hidden="false" customHeight="false" outlineLevel="0" collapsed="false">
      <c r="A14" s="13"/>
      <c r="B14" s="14"/>
      <c r="C14" s="14"/>
      <c r="D14" s="15"/>
      <c r="E14" s="15"/>
      <c r="F14" s="16" t="str">
        <f aca="false">IF(B14="","",IF(B14="P",$D$4,$D$3))</f>
        <v/>
      </c>
      <c r="G14" s="16" t="str">
        <f aca="false">IF(B14="","",IF(B14="P",$I$4,$I$3))</f>
        <v/>
      </c>
      <c r="H14" s="17" t="str">
        <f aca="false">IF(OR(E14="",B14=""),"",ROUND(IF(B14="P",E14*(1-F14/100),E14/(1+F14/100)),-3))</f>
        <v/>
      </c>
      <c r="I14" s="17" t="str">
        <f aca="false">IF(OR(E14="",B14=""),"",ROUND(E14*(1+G14/100),-3))</f>
        <v/>
      </c>
      <c r="J14" s="17" t="str">
        <f aca="false">IF(OR(D14="",E14="",C14=""),"",IF(C14=0,E14-D14*1.1,E14-D14))</f>
        <v/>
      </c>
      <c r="K14" s="17" t="str">
        <f aca="false">IF(OR(D14="",H14="",C14=""),"",IF(C14=0,H14-D14,H14-D14/1.1))</f>
        <v/>
      </c>
      <c r="L14" s="17" t="str">
        <f aca="false">IF(OR(D14="",I14="",C14=""),"",IF(C14=0,I14-D14*1.13,I14/(1+G14/100)-D14))</f>
        <v/>
      </c>
      <c r="M14" s="18" t="str">
        <f aca="false">IF(J14="","",IF(E14&gt;0,J14/E14,""))</f>
        <v/>
      </c>
      <c r="N14" s="18" t="str">
        <f aca="false">IF(K14="","",IF(H14&gt;0,K14/H14,""))</f>
        <v/>
      </c>
      <c r="O14" s="18" t="str">
        <f aca="false">IF(L14="","",IF(I14&gt;0,L14/I14,""))</f>
        <v/>
      </c>
    </row>
    <row r="15" customFormat="false" ht="15" hidden="false" customHeight="false" outlineLevel="0" collapsed="false">
      <c r="A15" s="13"/>
      <c r="B15" s="14"/>
      <c r="C15" s="14"/>
      <c r="D15" s="15"/>
      <c r="E15" s="15"/>
      <c r="F15" s="16" t="str">
        <f aca="false">IF(B15="","",IF(B15="P",$D$4,$D$3))</f>
        <v/>
      </c>
      <c r="G15" s="16" t="str">
        <f aca="false">IF(B15="","",IF(B15="P",$I$4,$I$3))</f>
        <v/>
      </c>
      <c r="H15" s="17" t="str">
        <f aca="false">IF(OR(E15="",B15=""),"",ROUND(IF(B15="P",E15*(1-F15/100),E15/(1+F15/100)),-3))</f>
        <v/>
      </c>
      <c r="I15" s="17" t="str">
        <f aca="false">IF(OR(E15="",B15=""),"",ROUND(E15*(1+G15/100),-3))</f>
        <v/>
      </c>
      <c r="J15" s="17" t="str">
        <f aca="false">IF(OR(D15="",E15="",C15=""),"",IF(C15=0,E15-D15*1.1,E15-D15))</f>
        <v/>
      </c>
      <c r="K15" s="17" t="str">
        <f aca="false">IF(OR(D15="",H15="",C15=""),"",IF(C15=0,H15-D15,H15-D15/1.1))</f>
        <v/>
      </c>
      <c r="L15" s="17" t="str">
        <f aca="false">IF(OR(D15="",I15="",C15=""),"",IF(C15=0,I15-D15*1.13,I15/(1+G15/100)-D15))</f>
        <v/>
      </c>
      <c r="M15" s="18" t="str">
        <f aca="false">IF(J15="","",IF(E15&gt;0,J15/E15,""))</f>
        <v/>
      </c>
      <c r="N15" s="18" t="str">
        <f aca="false">IF(K15="","",IF(H15&gt;0,K15/H15,""))</f>
        <v/>
      </c>
      <c r="O15" s="18" t="str">
        <f aca="false">IF(L15="","",IF(I15&gt;0,L15/I15,""))</f>
        <v/>
      </c>
    </row>
    <row r="16" customFormat="false" ht="15" hidden="false" customHeight="false" outlineLevel="0" collapsed="false">
      <c r="A16" s="13"/>
      <c r="B16" s="14"/>
      <c r="C16" s="14"/>
      <c r="D16" s="15"/>
      <c r="E16" s="15"/>
      <c r="F16" s="16" t="str">
        <f aca="false">IF(B16="","",IF(B16="P",$D$4,$D$3))</f>
        <v/>
      </c>
      <c r="G16" s="16" t="str">
        <f aca="false">IF(B16="","",IF(B16="P",$I$4,$I$3))</f>
        <v/>
      </c>
      <c r="H16" s="17" t="str">
        <f aca="false">IF(OR(E16="",B16=""),"",ROUND(IF(B16="P",E16*(1-F16/100),E16/(1+F16/100)),-3))</f>
        <v/>
      </c>
      <c r="I16" s="17" t="str">
        <f aca="false">IF(OR(E16="",B16=""),"",ROUND(E16*(1+G16/100),-3))</f>
        <v/>
      </c>
      <c r="J16" s="17" t="str">
        <f aca="false">IF(OR(D16="",E16="",C16=""),"",IF(C16=0,E16-D16*1.1,E16-D16))</f>
        <v/>
      </c>
      <c r="K16" s="17" t="str">
        <f aca="false">IF(OR(D16="",H16="",C16=""),"",IF(C16=0,H16-D16,H16-D16/1.1))</f>
        <v/>
      </c>
      <c r="L16" s="17" t="str">
        <f aca="false">IF(OR(D16="",I16="",C16=""),"",IF(C16=0,I16-D16*1.13,I16/(1+G16/100)-D16))</f>
        <v/>
      </c>
      <c r="M16" s="18" t="str">
        <f aca="false">IF(J16="","",IF(E16&gt;0,J16/E16,""))</f>
        <v/>
      </c>
      <c r="N16" s="18" t="str">
        <f aca="false">IF(K16="","",IF(H16&gt;0,K16/H16,""))</f>
        <v/>
      </c>
      <c r="O16" s="18" t="str">
        <f aca="false">IF(L16="","",IF(I16&gt;0,L16/I16,""))</f>
        <v/>
      </c>
    </row>
    <row r="17" customFormat="false" ht="15" hidden="false" customHeight="false" outlineLevel="0" collapsed="false">
      <c r="A17" s="13"/>
      <c r="B17" s="14"/>
      <c r="C17" s="14"/>
      <c r="D17" s="15"/>
      <c r="E17" s="15"/>
      <c r="F17" s="16" t="str">
        <f aca="false">IF(B17="","",IF(B17="P",$D$4,$D$3))</f>
        <v/>
      </c>
      <c r="G17" s="16" t="str">
        <f aca="false">IF(B17="","",IF(B17="P",$I$4,$I$3))</f>
        <v/>
      </c>
      <c r="H17" s="17" t="str">
        <f aca="false">IF(OR(E17="",B17=""),"",ROUND(IF(B17="P",E17*(1-F17/100),E17/(1+F17/100)),-3))</f>
        <v/>
      </c>
      <c r="I17" s="17" t="str">
        <f aca="false">IF(OR(E17="",B17=""),"",ROUND(E17*(1+G17/100),-3))</f>
        <v/>
      </c>
      <c r="J17" s="17" t="str">
        <f aca="false">IF(OR(D17="",E17="",C17=""),"",IF(C17=0,E17-D17*1.1,E17-D17))</f>
        <v/>
      </c>
      <c r="K17" s="17" t="str">
        <f aca="false">IF(OR(D17="",H17="",C17=""),"",IF(C17=0,H17-D17,H17-D17/1.1))</f>
        <v/>
      </c>
      <c r="L17" s="17" t="str">
        <f aca="false">IF(OR(D17="",I17="",C17=""),"",IF(C17=0,I17-D17*1.13,I17/(1+G17/100)-D17))</f>
        <v/>
      </c>
      <c r="M17" s="18" t="str">
        <f aca="false">IF(J17="","",IF(E17&gt;0,J17/E17,""))</f>
        <v/>
      </c>
      <c r="N17" s="18" t="str">
        <f aca="false">IF(K17="","",IF(H17&gt;0,K17/H17,""))</f>
        <v/>
      </c>
      <c r="O17" s="18" t="str">
        <f aca="false">IF(L17="","",IF(I17&gt;0,L17/I17,""))</f>
        <v/>
      </c>
    </row>
    <row r="18" customFormat="false" ht="15" hidden="false" customHeight="false" outlineLevel="0" collapsed="false">
      <c r="A18" s="13"/>
      <c r="B18" s="14"/>
      <c r="C18" s="14"/>
      <c r="D18" s="15"/>
      <c r="E18" s="15"/>
      <c r="F18" s="16" t="str">
        <f aca="false">IF(B18="","",IF(B18="P",$D$4,$D$3))</f>
        <v/>
      </c>
      <c r="G18" s="16" t="str">
        <f aca="false">IF(B18="","",IF(B18="P",$I$4,$I$3))</f>
        <v/>
      </c>
      <c r="H18" s="17" t="str">
        <f aca="false">IF(OR(E18="",B18=""),"",ROUND(IF(B18="P",E18*(1-F18/100),E18/(1+F18/100)),-3))</f>
        <v/>
      </c>
      <c r="I18" s="17" t="str">
        <f aca="false">IF(OR(E18="",B18=""),"",ROUND(E18*(1+G18/100),-3))</f>
        <v/>
      </c>
      <c r="J18" s="17" t="str">
        <f aca="false">IF(OR(D18="",E18="",C18=""),"",IF(C18=0,E18-D18*1.1,E18-D18))</f>
        <v/>
      </c>
      <c r="K18" s="17" t="str">
        <f aca="false">IF(OR(D18="",H18="",C18=""),"",IF(C18=0,H18-D18,H18-D18/1.1))</f>
        <v/>
      </c>
      <c r="L18" s="17" t="str">
        <f aca="false">IF(OR(D18="",I18="",C18=""),"",IF(C18=0,I18-D18*1.13,I18/(1+G18/100)-D18))</f>
        <v/>
      </c>
      <c r="M18" s="18" t="str">
        <f aca="false">IF(J18="","",IF(E18&gt;0,J18/E18,""))</f>
        <v/>
      </c>
      <c r="N18" s="18" t="str">
        <f aca="false">IF(K18="","",IF(H18&gt;0,K18/H18,""))</f>
        <v/>
      </c>
      <c r="O18" s="18" t="str">
        <f aca="false">IF(L18="","",IF(I18&gt;0,L18/I18,""))</f>
        <v/>
      </c>
    </row>
    <row r="19" customFormat="false" ht="15" hidden="false" customHeight="false" outlineLevel="0" collapsed="false">
      <c r="A19" s="13"/>
      <c r="B19" s="14"/>
      <c r="C19" s="14"/>
      <c r="D19" s="15"/>
      <c r="E19" s="15"/>
      <c r="F19" s="16" t="str">
        <f aca="false">IF(B19="","",IF(B19="P",$D$4,$D$3))</f>
        <v/>
      </c>
      <c r="G19" s="16" t="str">
        <f aca="false">IF(B19="","",IF(B19="P",$I$4,$I$3))</f>
        <v/>
      </c>
      <c r="H19" s="17" t="str">
        <f aca="false">IF(OR(E19="",B19=""),"",ROUND(IF(B19="P",E19*(1-F19/100),E19/(1+F19/100)),-3))</f>
        <v/>
      </c>
      <c r="I19" s="17" t="str">
        <f aca="false">IF(OR(E19="",B19=""),"",ROUND(E19*(1+G19/100),-3))</f>
        <v/>
      </c>
      <c r="J19" s="17" t="str">
        <f aca="false">IF(OR(D19="",E19="",C19=""),"",IF(C19=0,E19-D19*1.1,E19-D19))</f>
        <v/>
      </c>
      <c r="K19" s="17" t="str">
        <f aca="false">IF(OR(D19="",H19="",C19=""),"",IF(C19=0,H19-D19,H19-D19/1.1))</f>
        <v/>
      </c>
      <c r="L19" s="17" t="str">
        <f aca="false">IF(OR(D19="",I19="",C19=""),"",IF(C19=0,I19-D19*1.13,I19/(1+G19/100)-D19))</f>
        <v/>
      </c>
      <c r="M19" s="18" t="str">
        <f aca="false">IF(J19="","",IF(E19&gt;0,J19/E19,""))</f>
        <v/>
      </c>
      <c r="N19" s="18" t="str">
        <f aca="false">IF(K19="","",IF(H19&gt;0,K19/H19,""))</f>
        <v/>
      </c>
      <c r="O19" s="18" t="str">
        <f aca="false">IF(L19="","",IF(I19&gt;0,L19/I19,""))</f>
        <v/>
      </c>
    </row>
    <row r="20" customFormat="false" ht="15" hidden="false" customHeight="false" outlineLevel="0" collapsed="false">
      <c r="A20" s="13"/>
      <c r="B20" s="14"/>
      <c r="C20" s="14"/>
      <c r="D20" s="15"/>
      <c r="E20" s="15"/>
      <c r="F20" s="16" t="str">
        <f aca="false">IF(B20="","",IF(B20="P",$D$4,$D$3))</f>
        <v/>
      </c>
      <c r="G20" s="16" t="str">
        <f aca="false">IF(B20="","",IF(B20="P",$I$4,$I$3))</f>
        <v/>
      </c>
      <c r="H20" s="17" t="str">
        <f aca="false">IF(OR(E20="",B20=""),"",ROUND(IF(B20="P",E20*(1-F20/100),E20/(1+F20/100)),-3))</f>
        <v/>
      </c>
      <c r="I20" s="17" t="str">
        <f aca="false">IF(OR(E20="",B20=""),"",ROUND(E20*(1+G20/100),-3))</f>
        <v/>
      </c>
      <c r="J20" s="17" t="str">
        <f aca="false">IF(OR(D20="",E20="",C20=""),"",IF(C20=0,E20-D20*1.1,E20-D20))</f>
        <v/>
      </c>
      <c r="K20" s="17" t="str">
        <f aca="false">IF(OR(D20="",H20="",C20=""),"",IF(C20=0,H20-D20,H20-D20/1.1))</f>
        <v/>
      </c>
      <c r="L20" s="17" t="str">
        <f aca="false">IF(OR(D20="",I20="",C20=""),"",IF(C20=0,I20-D20*1.13,I20/(1+G20/100)-D20))</f>
        <v/>
      </c>
      <c r="M20" s="18" t="str">
        <f aca="false">IF(J20="","",IF(E20&gt;0,J20/E20,""))</f>
        <v/>
      </c>
      <c r="N20" s="18" t="str">
        <f aca="false">IF(K20="","",IF(H20&gt;0,K20/H20,""))</f>
        <v/>
      </c>
      <c r="O20" s="18" t="str">
        <f aca="false">IF(L20="","",IF(I20&gt;0,L20/I20,""))</f>
        <v/>
      </c>
    </row>
    <row r="21" customFormat="false" ht="15" hidden="false" customHeight="false" outlineLevel="0" collapsed="false">
      <c r="A21" s="13"/>
      <c r="B21" s="14"/>
      <c r="C21" s="14"/>
      <c r="D21" s="15"/>
      <c r="E21" s="15"/>
      <c r="F21" s="16" t="str">
        <f aca="false">IF(B21="","",IF(B21="P",$D$4,$D$3))</f>
        <v/>
      </c>
      <c r="G21" s="16" t="str">
        <f aca="false">IF(B21="","",IF(B21="P",$I$4,$I$3))</f>
        <v/>
      </c>
      <c r="H21" s="17" t="str">
        <f aca="false">IF(OR(E21="",B21=""),"",ROUND(IF(B21="P",E21*(1-F21/100),E21/(1+F21/100)),-3))</f>
        <v/>
      </c>
      <c r="I21" s="17" t="str">
        <f aca="false">IF(OR(E21="",B21=""),"",ROUND(E21*(1+G21/100),-3))</f>
        <v/>
      </c>
      <c r="J21" s="17" t="str">
        <f aca="false">IF(OR(D21="",E21="",C21=""),"",IF(C21=0,E21-D21*1.1,E21-D21))</f>
        <v/>
      </c>
      <c r="K21" s="17" t="str">
        <f aca="false">IF(OR(D21="",H21="",C21=""),"",IF(C21=0,H21-D21,H21-D21/1.1))</f>
        <v/>
      </c>
      <c r="L21" s="17" t="str">
        <f aca="false">IF(OR(D21="",I21="",C21=""),"",IF(C21=0,I21-D21*1.13,I21/(1+G21/100)-D21))</f>
        <v/>
      </c>
      <c r="M21" s="18" t="str">
        <f aca="false">IF(J21="","",IF(E21&gt;0,J21/E21,""))</f>
        <v/>
      </c>
      <c r="N21" s="18" t="str">
        <f aca="false">IF(K21="","",IF(H21&gt;0,K21/H21,""))</f>
        <v/>
      </c>
      <c r="O21" s="18" t="str">
        <f aca="false">IF(L21="","",IF(I21&gt;0,L21/I21,""))</f>
        <v/>
      </c>
    </row>
    <row r="22" customFormat="false" ht="15" hidden="false" customHeight="false" outlineLevel="0" collapsed="false">
      <c r="A22" s="13"/>
      <c r="B22" s="14"/>
      <c r="C22" s="14"/>
      <c r="D22" s="15"/>
      <c r="E22" s="15"/>
      <c r="F22" s="16" t="str">
        <f aca="false">IF(B22="","",IF(B22="P",$D$4,$D$3))</f>
        <v/>
      </c>
      <c r="G22" s="16" t="str">
        <f aca="false">IF(B22="","",IF(B22="P",$I$4,$I$3))</f>
        <v/>
      </c>
      <c r="H22" s="17" t="str">
        <f aca="false">IF(OR(E22="",B22=""),"",ROUND(IF(B22="P",E22*(1-F22/100),E22/(1+F22/100)),-3))</f>
        <v/>
      </c>
      <c r="I22" s="17" t="str">
        <f aca="false">IF(OR(E22="",B22=""),"",ROUND(E22*(1+G22/100),-3))</f>
        <v/>
      </c>
      <c r="J22" s="17" t="str">
        <f aca="false">IF(OR(D22="",E22="",C22=""),"",IF(C22=0,E22-D22*1.1,E22-D22))</f>
        <v/>
      </c>
      <c r="K22" s="17" t="str">
        <f aca="false">IF(OR(D22="",H22="",C22=""),"",IF(C22=0,H22-D22,H22-D22/1.1))</f>
        <v/>
      </c>
      <c r="L22" s="17" t="str">
        <f aca="false">IF(OR(D22="",I22="",C22=""),"",IF(C22=0,I22-D22*1.13,I22/(1+G22/100)-D22))</f>
        <v/>
      </c>
      <c r="M22" s="18" t="str">
        <f aca="false">IF(J22="","",IF(E22&gt;0,J22/E22,""))</f>
        <v/>
      </c>
      <c r="N22" s="18" t="str">
        <f aca="false">IF(K22="","",IF(H22&gt;0,K22/H22,""))</f>
        <v/>
      </c>
      <c r="O22" s="18" t="str">
        <f aca="false">IF(L22="","",IF(I22&gt;0,L22/I22,""))</f>
        <v/>
      </c>
    </row>
    <row r="23" customFormat="false" ht="15" hidden="false" customHeight="false" outlineLevel="0" collapsed="false">
      <c r="A23" s="13"/>
      <c r="B23" s="14"/>
      <c r="C23" s="14"/>
      <c r="D23" s="15"/>
      <c r="E23" s="15"/>
      <c r="F23" s="16" t="str">
        <f aca="false">IF(B23="","",IF(B23="P",$D$4,$D$3))</f>
        <v/>
      </c>
      <c r="G23" s="16" t="str">
        <f aca="false">IF(B23="","",IF(B23="P",$I$4,$I$3))</f>
        <v/>
      </c>
      <c r="H23" s="17" t="str">
        <f aca="false">IF(OR(E23="",B23=""),"",ROUND(IF(B23="P",E23*(1-F23/100),E23/(1+F23/100)),-3))</f>
        <v/>
      </c>
      <c r="I23" s="17" t="str">
        <f aca="false">IF(OR(E23="",B23=""),"",ROUND(E23*(1+G23/100),-3))</f>
        <v/>
      </c>
      <c r="J23" s="17" t="str">
        <f aca="false">IF(OR(D23="",E23="",C23=""),"",IF(C23=0,E23-D23*1.1,E23-D23))</f>
        <v/>
      </c>
      <c r="K23" s="17" t="str">
        <f aca="false">IF(OR(D23="",H23="",C23=""),"",IF(C23=0,H23-D23,H23-D23/1.1))</f>
        <v/>
      </c>
      <c r="L23" s="17" t="str">
        <f aca="false">IF(OR(D23="",I23="",C23=""),"",IF(C23=0,I23-D23*1.13,I23/(1+G23/100)-D23))</f>
        <v/>
      </c>
      <c r="M23" s="18" t="str">
        <f aca="false">IF(J23="","",IF(E23&gt;0,J23/E23,""))</f>
        <v/>
      </c>
      <c r="N23" s="18" t="str">
        <f aca="false">IF(K23="","",IF(H23&gt;0,K23/H23,""))</f>
        <v/>
      </c>
      <c r="O23" s="18" t="str">
        <f aca="false">IF(L23="","",IF(I23&gt;0,L23/I23,""))</f>
        <v/>
      </c>
    </row>
    <row r="24" customFormat="false" ht="15" hidden="false" customHeight="false" outlineLevel="0" collapsed="false">
      <c r="A24" s="13"/>
      <c r="B24" s="14"/>
      <c r="C24" s="14"/>
      <c r="D24" s="15"/>
      <c r="E24" s="15"/>
      <c r="F24" s="16" t="str">
        <f aca="false">IF(B24="","",IF(B24="P",$D$4,$D$3))</f>
        <v/>
      </c>
      <c r="G24" s="16" t="str">
        <f aca="false">IF(B24="","",IF(B24="P",$I$4,$I$3))</f>
        <v/>
      </c>
      <c r="H24" s="17" t="str">
        <f aca="false">IF(OR(E24="",B24=""),"",ROUND(IF(B24="P",E24*(1-F24/100),E24/(1+F24/100)),-3))</f>
        <v/>
      </c>
      <c r="I24" s="17" t="str">
        <f aca="false">IF(OR(E24="",B24=""),"",ROUND(E24*(1+G24/100),-3))</f>
        <v/>
      </c>
      <c r="J24" s="17" t="str">
        <f aca="false">IF(OR(D24="",E24="",C24=""),"",IF(C24=0,E24-D24*1.1,E24-D24))</f>
        <v/>
      </c>
      <c r="K24" s="17" t="str">
        <f aca="false">IF(OR(D24="",H24="",C24=""),"",IF(C24=0,H24-D24,H24-D24/1.1))</f>
        <v/>
      </c>
      <c r="L24" s="17" t="str">
        <f aca="false">IF(OR(D24="",I24="",C24=""),"",IF(C24=0,I24-D24*1.13,I24/(1+G24/100)-D24))</f>
        <v/>
      </c>
      <c r="M24" s="18" t="str">
        <f aca="false">IF(J24="","",IF(E24&gt;0,J24/E24,""))</f>
        <v/>
      </c>
      <c r="N24" s="18" t="str">
        <f aca="false">IF(K24="","",IF(H24&gt;0,K24/H24,""))</f>
        <v/>
      </c>
      <c r="O24" s="18" t="str">
        <f aca="false">IF(L24="","",IF(I24&gt;0,L24/I24,""))</f>
        <v/>
      </c>
    </row>
    <row r="25" customFormat="false" ht="15" hidden="false" customHeight="false" outlineLevel="0" collapsed="false">
      <c r="A25" s="13"/>
      <c r="B25" s="14"/>
      <c r="C25" s="14"/>
      <c r="D25" s="15"/>
      <c r="E25" s="15"/>
      <c r="F25" s="16" t="str">
        <f aca="false">IF(B25="","",IF(B25="P",$D$4,$D$3))</f>
        <v/>
      </c>
      <c r="G25" s="16" t="str">
        <f aca="false">IF(B25="","",IF(B25="P",$I$4,$I$3))</f>
        <v/>
      </c>
      <c r="H25" s="17" t="str">
        <f aca="false">IF(OR(E25="",B25=""),"",ROUND(IF(B25="P",E25*(1-F25/100),E25/(1+F25/100)),-3))</f>
        <v/>
      </c>
      <c r="I25" s="17" t="str">
        <f aca="false">IF(OR(E25="",B25=""),"",ROUND(E25*(1+G25/100),-3))</f>
        <v/>
      </c>
      <c r="J25" s="17" t="str">
        <f aca="false">IF(OR(D25="",E25="",C25=""),"",IF(C25=0,E25-D25*1.1,E25-D25))</f>
        <v/>
      </c>
      <c r="K25" s="17" t="str">
        <f aca="false">IF(OR(D25="",H25="",C25=""),"",IF(C25=0,H25-D25,H25-D25/1.1))</f>
        <v/>
      </c>
      <c r="L25" s="17" t="str">
        <f aca="false">IF(OR(D25="",I25="",C25=""),"",IF(C25=0,I25-D25*1.13,I25/(1+G25/100)-D25))</f>
        <v/>
      </c>
      <c r="M25" s="18" t="str">
        <f aca="false">IF(J25="","",IF(E25&gt;0,J25/E25,""))</f>
        <v/>
      </c>
      <c r="N25" s="18" t="str">
        <f aca="false">IF(K25="","",IF(H25&gt;0,K25/H25,""))</f>
        <v/>
      </c>
      <c r="O25" s="18" t="str">
        <f aca="false">IF(L25="","",IF(I25&gt;0,L25/I25,""))</f>
        <v/>
      </c>
    </row>
    <row r="26" customFormat="false" ht="15" hidden="false" customHeight="false" outlineLevel="0" collapsed="false">
      <c r="A26" s="13"/>
      <c r="B26" s="14"/>
      <c r="C26" s="14"/>
      <c r="D26" s="15"/>
      <c r="E26" s="15"/>
      <c r="F26" s="16" t="str">
        <f aca="false">IF(B26="","",IF(B26="P",$D$4,$D$3))</f>
        <v/>
      </c>
      <c r="G26" s="16" t="str">
        <f aca="false">IF(B26="","",IF(B26="P",$I$4,$I$3))</f>
        <v/>
      </c>
      <c r="H26" s="17" t="str">
        <f aca="false">IF(OR(E26="",B26=""),"",ROUND(IF(B26="P",E26*(1-F26/100),E26/(1+F26/100)),-3))</f>
        <v/>
      </c>
      <c r="I26" s="17" t="str">
        <f aca="false">IF(OR(E26="",B26=""),"",ROUND(E26*(1+G26/100),-3))</f>
        <v/>
      </c>
      <c r="J26" s="17" t="str">
        <f aca="false">IF(OR(D26="",E26="",C26=""),"",IF(C26=0,E26-D26*1.1,E26-D26))</f>
        <v/>
      </c>
      <c r="K26" s="17" t="str">
        <f aca="false">IF(OR(D26="",H26="",C26=""),"",IF(C26=0,H26-D26,H26-D26/1.1))</f>
        <v/>
      </c>
      <c r="L26" s="17" t="str">
        <f aca="false">IF(OR(D26="",I26="",C26=""),"",IF(C26=0,I26-D26*1.13,I26/(1+G26/100)-D26))</f>
        <v/>
      </c>
      <c r="M26" s="18" t="str">
        <f aca="false">IF(J26="","",IF(E26&gt;0,J26/E26,""))</f>
        <v/>
      </c>
      <c r="N26" s="18" t="str">
        <f aca="false">IF(K26="","",IF(H26&gt;0,K26/H26,""))</f>
        <v/>
      </c>
      <c r="O26" s="18" t="str">
        <f aca="false">IF(L26="","",IF(I26&gt;0,L26/I26,""))</f>
        <v/>
      </c>
    </row>
    <row r="28" customFormat="false" ht="15" hidden="false" customHeight="false" outlineLevel="0" collapsed="false">
      <c r="A28" s="2" t="s">
        <v>48</v>
      </c>
    </row>
  </sheetData>
  <dataValidations count="2">
    <dataValidation allowBlank="true" error="S, U, P 중 하나를 입력하세요." errorStyle="stop" operator="between" showDropDown="false" showErrorMessage="false" showInputMessage="false" sqref="B7:B26" type="list">
      <formula1>"S,U,P"</formula1>
      <formula2>0</formula2>
    </dataValidation>
    <dataValidation allowBlank="true" error="VAT는 0 또는 1입니다." errorStyle="stop" operator="between" showDropDown="false" showErrorMessage="false" showInputMessage="false" sqref="C7:C26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2026-10-27T02:15:26Z</dcterms:created>
  <dc:creator>openpyxl</dc:creator>
  <dc:description/>
  <dc:language>en-US</dc:language>
  <cp:lastModifiedBy/>
  <dcterms:modified xsi:type="dcterms:W3CDTF">2026-10-27T02:15:26Z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